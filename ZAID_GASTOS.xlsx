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esktop\MAC ZAID\"/>
    </mc:Choice>
  </mc:AlternateContent>
  <xr:revisionPtr revIDLastSave="0" documentId="13_ncr:1_{C0B11D51-A002-4F94-94A3-B0F8DB39B1BF}" xr6:coauthVersionLast="47" xr6:coauthVersionMax="47" xr10:uidLastSave="{00000000-0000-0000-0000-000000000000}"/>
  <bookViews>
    <workbookView xWindow="28680" yWindow="-120" windowWidth="19440" windowHeight="10320" xr2:uid="{0988253D-EE10-4ACA-AB6F-CAEBA60A67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K36" i="1"/>
  <c r="D45" i="1" s="1"/>
  <c r="E36" i="1" s="1"/>
  <c r="B39" i="1"/>
  <c r="B25" i="1"/>
  <c r="K22" i="1"/>
  <c r="K3" i="1"/>
  <c r="D6" i="1" s="1"/>
  <c r="E3" i="1" s="1"/>
  <c r="B6" i="1"/>
  <c r="F36" i="1" l="1"/>
  <c r="E22" i="1"/>
  <c r="F22" i="1" s="1"/>
  <c r="G22" i="1" s="1"/>
  <c r="F3" i="1"/>
  <c r="G3" i="1" s="1"/>
  <c r="G36" i="1" l="1"/>
</calcChain>
</file>

<file path=xl/sharedStrings.xml><?xml version="1.0" encoding="utf-8"?>
<sst xmlns="http://schemas.openxmlformats.org/spreadsheetml/2006/main" count="81" uniqueCount="48">
  <si>
    <t>SEMANA 3</t>
  </si>
  <si>
    <t>MONTO RECIBIDO</t>
  </si>
  <si>
    <t>GASTO</t>
  </si>
  <si>
    <t>MONTO GASTADO</t>
  </si>
  <si>
    <t>TOTAL DE GASTOS</t>
  </si>
  <si>
    <t>SALDO RESTANTE</t>
  </si>
  <si>
    <t>ACUMULADO</t>
  </si>
  <si>
    <t>Moto</t>
  </si>
  <si>
    <t xml:space="preserve">Taxi </t>
  </si>
  <si>
    <t>Pollo</t>
  </si>
  <si>
    <t>HERMANA</t>
  </si>
  <si>
    <t>Artefactos</t>
  </si>
  <si>
    <t>Salchiconos</t>
  </si>
  <si>
    <t>PASAJES</t>
  </si>
  <si>
    <t>AGREGACIÓN</t>
  </si>
  <si>
    <t>PRINCIPAL</t>
  </si>
  <si>
    <t>TOTAL</t>
  </si>
  <si>
    <t>GPT</t>
  </si>
  <si>
    <t>EXTRAS</t>
  </si>
  <si>
    <t>PRECIO</t>
  </si>
  <si>
    <t>?</t>
  </si>
  <si>
    <t>HELADO</t>
  </si>
  <si>
    <t>AGUA</t>
  </si>
  <si>
    <t>CEB, HUEVO</t>
  </si>
  <si>
    <t>fideos fetu</t>
  </si>
  <si>
    <t>mantequilla, harina</t>
  </si>
  <si>
    <t>Pollo a la brasa</t>
  </si>
  <si>
    <t>Espinaca</t>
  </si>
  <si>
    <t>Almuerzo*3</t>
  </si>
  <si>
    <t>SEMANA 5</t>
  </si>
  <si>
    <t>Router</t>
  </si>
  <si>
    <t>Comida x2</t>
  </si>
  <si>
    <t>Cuak</t>
  </si>
  <si>
    <t>Quinua</t>
  </si>
  <si>
    <t>crema de Peinar</t>
  </si>
  <si>
    <t>Cono</t>
  </si>
  <si>
    <t>Pechuga</t>
  </si>
  <si>
    <t xml:space="preserve">Pan </t>
  </si>
  <si>
    <t>SEMANA 6</t>
  </si>
  <si>
    <t>Pollo brasa</t>
  </si>
  <si>
    <t>EXcel</t>
  </si>
  <si>
    <t>Carnet</t>
  </si>
  <si>
    <t>Monitor</t>
  </si>
  <si>
    <t>Funda</t>
  </si>
  <si>
    <t>Comida *2</t>
  </si>
  <si>
    <t>Bloqueador</t>
  </si>
  <si>
    <t>Comida utp</t>
  </si>
  <si>
    <t>Pollo, saliendo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</si>
</sst>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75BE-BD1E-4ABF-80F6-AA146AB0F03C}">
  <dimension ref="A2:K45"/>
  <sheetViews>
    <sheetView tabSelected="1" topLeftCell="A34" zoomScale="130" zoomScaleNormal="130" workbookViewId="0">
      <selection activeCell="D43" sqref="D43"/>
    </sheetView>
  </sheetViews>
  <sheetFormatPr baseColWidth="10" defaultRowHeight="14.4" x14ac:dyDescent="0.3"/>
  <cols>
    <col min="1" max="1" width="14.21875" customWidth="1"/>
    <col min="2" max="2" width="19.109375" customWidth="1"/>
    <col min="3" max="3" width="19.77734375" customWidth="1"/>
    <col min="4" max="4" width="18.5546875" customWidth="1"/>
    <col min="5" max="5" width="18.33203125" customWidth="1"/>
    <col min="6" max="6" width="17.33203125" customWidth="1"/>
    <col min="7" max="7" width="15.21875" customWidth="1"/>
    <col min="9" max="9" width="18.5546875" customWidth="1"/>
  </cols>
  <sheetData>
    <row r="2" spans="1:11" ht="15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15" t="s">
        <v>18</v>
      </c>
      <c r="J2" s="16" t="s">
        <v>19</v>
      </c>
      <c r="K2" s="17" t="s">
        <v>16</v>
      </c>
    </row>
    <row r="3" spans="1:11" ht="15" thickBot="1" x14ac:dyDescent="0.35">
      <c r="A3" s="3">
        <v>46118</v>
      </c>
      <c r="B3" s="21">
        <v>200</v>
      </c>
      <c r="C3" s="4" t="s">
        <v>7</v>
      </c>
      <c r="D3" s="4">
        <v>9.5</v>
      </c>
      <c r="E3" s="21">
        <f>SUM(D3:D14)</f>
        <v>277.39999999999998</v>
      </c>
      <c r="F3" s="21">
        <f>B6-E3</f>
        <v>2.6000000000000227</v>
      </c>
      <c r="G3" s="21">
        <f>F3</f>
        <v>2.6000000000000227</v>
      </c>
      <c r="I3" s="6" t="s">
        <v>20</v>
      </c>
      <c r="J3" s="6">
        <v>7.5</v>
      </c>
      <c r="K3" s="18">
        <f>SUM(J3:J12)</f>
        <v>72.900000000000006</v>
      </c>
    </row>
    <row r="4" spans="1:11" x14ac:dyDescent="0.3">
      <c r="A4" s="4" t="s">
        <v>15</v>
      </c>
      <c r="B4" s="22"/>
      <c r="C4" s="4" t="s">
        <v>8</v>
      </c>
      <c r="D4" s="4">
        <v>8.5</v>
      </c>
      <c r="E4" s="23"/>
      <c r="F4" s="23"/>
      <c r="G4" s="23"/>
      <c r="I4" s="9" t="s">
        <v>20</v>
      </c>
      <c r="J4" s="4">
        <v>5.7</v>
      </c>
      <c r="K4" s="1"/>
    </row>
    <row r="5" spans="1:11" ht="15" thickBot="1" x14ac:dyDescent="0.35">
      <c r="A5" s="10"/>
      <c r="B5" s="8"/>
      <c r="C5" s="7" t="s">
        <v>9</v>
      </c>
      <c r="D5" s="4">
        <v>13.5</v>
      </c>
      <c r="E5" s="23"/>
      <c r="F5" s="23"/>
      <c r="G5" s="23"/>
      <c r="I5" s="4" t="s">
        <v>21</v>
      </c>
      <c r="J5" s="4">
        <v>2</v>
      </c>
      <c r="K5" s="1"/>
    </row>
    <row r="6" spans="1:11" ht="15" thickBot="1" x14ac:dyDescent="0.35">
      <c r="A6" s="13" t="s">
        <v>16</v>
      </c>
      <c r="B6" s="14">
        <f>B3+B9+B10+B11</f>
        <v>280</v>
      </c>
      <c r="C6" s="7" t="s">
        <v>18</v>
      </c>
      <c r="D6" s="4">
        <f>K3</f>
        <v>72.900000000000006</v>
      </c>
      <c r="E6" s="23"/>
      <c r="F6" s="23"/>
      <c r="G6" s="23"/>
      <c r="I6" s="4" t="s">
        <v>22</v>
      </c>
      <c r="J6" s="4">
        <v>3</v>
      </c>
      <c r="K6" s="1"/>
    </row>
    <row r="7" spans="1:11" x14ac:dyDescent="0.3">
      <c r="A7" s="9"/>
      <c r="B7" s="9"/>
      <c r="C7" s="4" t="s">
        <v>28</v>
      </c>
      <c r="D7" s="4">
        <v>33</v>
      </c>
      <c r="E7" s="23"/>
      <c r="F7" s="23"/>
      <c r="G7" s="23"/>
      <c r="I7" s="4" t="s">
        <v>23</v>
      </c>
      <c r="J7" s="4">
        <v>8</v>
      </c>
      <c r="K7" s="1"/>
    </row>
    <row r="8" spans="1:11" x14ac:dyDescent="0.3">
      <c r="A8" s="4"/>
      <c r="B8" s="4"/>
      <c r="C8" s="4" t="s">
        <v>10</v>
      </c>
      <c r="D8" s="4">
        <v>60</v>
      </c>
      <c r="E8" s="22"/>
      <c r="F8" s="22"/>
      <c r="G8" s="22"/>
      <c r="I8" s="4" t="s">
        <v>25</v>
      </c>
      <c r="J8" s="4">
        <v>7.5</v>
      </c>
      <c r="K8" s="1"/>
    </row>
    <row r="9" spans="1:11" x14ac:dyDescent="0.3">
      <c r="A9" s="4" t="s">
        <v>14</v>
      </c>
      <c r="B9" s="4">
        <v>50</v>
      </c>
      <c r="C9" s="4" t="s">
        <v>11</v>
      </c>
      <c r="D9" s="4">
        <v>50</v>
      </c>
      <c r="E9" s="4"/>
      <c r="F9" s="4"/>
      <c r="G9" s="4"/>
      <c r="I9" s="4" t="s">
        <v>24</v>
      </c>
      <c r="J9" s="4">
        <v>7.5</v>
      </c>
      <c r="K9" s="1"/>
    </row>
    <row r="10" spans="1:11" x14ac:dyDescent="0.3">
      <c r="A10" s="4"/>
      <c r="B10" s="4">
        <v>30</v>
      </c>
      <c r="C10" s="4" t="s">
        <v>12</v>
      </c>
      <c r="D10" s="4">
        <v>10</v>
      </c>
      <c r="E10" s="4"/>
      <c r="F10" s="4"/>
      <c r="G10" s="4"/>
      <c r="I10" s="4" t="s">
        <v>9</v>
      </c>
      <c r="J10" s="4">
        <v>10.5</v>
      </c>
      <c r="K10" s="1"/>
    </row>
    <row r="11" spans="1:11" x14ac:dyDescent="0.3">
      <c r="A11" s="4"/>
      <c r="B11" s="4"/>
      <c r="C11" s="5" t="s">
        <v>13</v>
      </c>
      <c r="D11" s="4">
        <v>10</v>
      </c>
      <c r="E11" s="4"/>
      <c r="F11" s="4"/>
      <c r="G11" s="4"/>
      <c r="I11" s="4" t="s">
        <v>26</v>
      </c>
      <c r="J11" s="4">
        <v>19.5</v>
      </c>
      <c r="K11" s="1"/>
    </row>
    <row r="12" spans="1:11" x14ac:dyDescent="0.3">
      <c r="A12" s="4"/>
      <c r="B12" s="4"/>
      <c r="C12" s="4" t="s">
        <v>17</v>
      </c>
      <c r="D12" s="4">
        <v>10</v>
      </c>
      <c r="E12" s="4"/>
      <c r="F12" s="4"/>
      <c r="G12" s="4"/>
      <c r="I12" s="4" t="s">
        <v>27</v>
      </c>
      <c r="J12" s="4">
        <v>1.7</v>
      </c>
      <c r="K12" s="1"/>
    </row>
    <row r="13" spans="1:11" x14ac:dyDescent="0.3">
      <c r="A13" s="1"/>
      <c r="B13" s="1"/>
      <c r="C13" s="1"/>
      <c r="D13" s="1"/>
      <c r="E13" s="1"/>
      <c r="F13" s="1"/>
      <c r="G13" s="1"/>
    </row>
    <row r="14" spans="1:11" x14ac:dyDescent="0.3">
      <c r="C14" s="12"/>
    </row>
    <row r="21" spans="1:11" ht="15" thickBot="1" x14ac:dyDescent="0.35">
      <c r="A21" s="2" t="s">
        <v>29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I21" s="15" t="s">
        <v>18</v>
      </c>
      <c r="J21" s="15" t="s">
        <v>19</v>
      </c>
      <c r="K21" s="16" t="s">
        <v>16</v>
      </c>
    </row>
    <row r="22" spans="1:11" ht="15" thickBot="1" x14ac:dyDescent="0.35">
      <c r="A22" s="3">
        <v>46118</v>
      </c>
      <c r="B22" s="21">
        <v>130</v>
      </c>
      <c r="C22" s="4" t="s">
        <v>30</v>
      </c>
      <c r="D22" s="4">
        <v>90</v>
      </c>
      <c r="E22" s="21">
        <f>SUM(D22:D33)</f>
        <v>217.7</v>
      </c>
      <c r="F22" s="21">
        <f>B25-E22</f>
        <v>12.300000000000011</v>
      </c>
      <c r="G22" s="21">
        <f>F22+G3</f>
        <v>14.900000000000034</v>
      </c>
      <c r="I22" s="6" t="s">
        <v>32</v>
      </c>
      <c r="J22" s="6">
        <v>2.2000000000000002</v>
      </c>
      <c r="K22" s="18">
        <f>SUM(J22:J31)</f>
        <v>21.2</v>
      </c>
    </row>
    <row r="23" spans="1:11" x14ac:dyDescent="0.3">
      <c r="A23" s="4" t="s">
        <v>15</v>
      </c>
      <c r="B23" s="22"/>
      <c r="C23" s="4" t="s">
        <v>9</v>
      </c>
      <c r="D23" s="4">
        <v>20</v>
      </c>
      <c r="E23" s="23"/>
      <c r="F23" s="23"/>
      <c r="G23" s="23"/>
      <c r="I23" s="9" t="s">
        <v>33</v>
      </c>
      <c r="J23" s="9">
        <v>5</v>
      </c>
      <c r="K23" s="1"/>
    </row>
    <row r="24" spans="1:11" ht="15" thickBot="1" x14ac:dyDescent="0.35">
      <c r="A24" s="10"/>
      <c r="B24" s="8"/>
      <c r="C24" s="7" t="s">
        <v>31</v>
      </c>
      <c r="D24" s="4">
        <v>22</v>
      </c>
      <c r="E24" s="23"/>
      <c r="F24" s="23"/>
      <c r="G24" s="23"/>
      <c r="I24" s="4" t="s">
        <v>35</v>
      </c>
      <c r="J24" s="4">
        <v>6</v>
      </c>
      <c r="K24" s="1"/>
    </row>
    <row r="25" spans="1:11" ht="15" thickBot="1" x14ac:dyDescent="0.35">
      <c r="A25" s="13" t="s">
        <v>16</v>
      </c>
      <c r="B25" s="14">
        <f>B22+B28+B29+B30+B31</f>
        <v>230</v>
      </c>
      <c r="C25" s="7" t="s">
        <v>34</v>
      </c>
      <c r="D25" s="4">
        <v>10</v>
      </c>
      <c r="E25" s="23"/>
      <c r="F25" s="23"/>
      <c r="G25" s="23"/>
      <c r="I25" s="4" t="s">
        <v>37</v>
      </c>
      <c r="J25" s="4">
        <v>8</v>
      </c>
      <c r="K25" s="1"/>
    </row>
    <row r="26" spans="1:11" x14ac:dyDescent="0.3">
      <c r="A26" s="9"/>
      <c r="B26" s="9"/>
      <c r="C26" s="4" t="s">
        <v>9</v>
      </c>
      <c r="D26" s="4">
        <v>15</v>
      </c>
      <c r="E26" s="23"/>
      <c r="F26" s="23"/>
      <c r="G26" s="23"/>
      <c r="I26" s="4"/>
      <c r="J26" s="4"/>
      <c r="K26" s="1"/>
    </row>
    <row r="27" spans="1:11" x14ac:dyDescent="0.3">
      <c r="A27" s="4"/>
      <c r="B27" s="4"/>
      <c r="C27" s="4" t="s">
        <v>36</v>
      </c>
      <c r="D27" s="4">
        <v>10.5</v>
      </c>
      <c r="E27" s="22"/>
      <c r="F27" s="22"/>
      <c r="G27" s="22"/>
      <c r="I27" s="4"/>
      <c r="J27" s="4"/>
      <c r="K27" s="1"/>
    </row>
    <row r="28" spans="1:11" x14ac:dyDescent="0.3">
      <c r="A28" s="4" t="s">
        <v>14</v>
      </c>
      <c r="B28" s="11">
        <v>100</v>
      </c>
      <c r="C28" s="11" t="s">
        <v>40</v>
      </c>
      <c r="D28" s="4">
        <v>10</v>
      </c>
      <c r="E28" s="4"/>
      <c r="F28" s="4"/>
      <c r="G28" s="4"/>
      <c r="I28" s="4"/>
      <c r="J28" s="4"/>
      <c r="K28" s="1"/>
    </row>
    <row r="29" spans="1:11" x14ac:dyDescent="0.3">
      <c r="A29" s="4"/>
      <c r="B29" s="4"/>
      <c r="C29" s="4" t="s">
        <v>39</v>
      </c>
      <c r="D29" s="4">
        <v>19</v>
      </c>
      <c r="E29" s="4"/>
      <c r="F29" s="4"/>
      <c r="G29" s="4"/>
      <c r="I29" s="4"/>
      <c r="J29" s="4"/>
      <c r="K29" s="1"/>
    </row>
    <row r="30" spans="1:11" x14ac:dyDescent="0.3">
      <c r="A30" s="4"/>
      <c r="B30" s="4"/>
      <c r="C30" s="5"/>
      <c r="D30" s="4"/>
      <c r="E30" s="4"/>
      <c r="F30" s="4"/>
      <c r="G30" s="4"/>
      <c r="I30" s="4"/>
      <c r="J30" s="4"/>
      <c r="K30" s="1"/>
    </row>
    <row r="31" spans="1:11" x14ac:dyDescent="0.3">
      <c r="A31" s="4"/>
      <c r="B31" s="4"/>
      <c r="C31" s="4" t="s">
        <v>18</v>
      </c>
      <c r="D31" s="4">
        <f>K22</f>
        <v>21.2</v>
      </c>
      <c r="E31" s="4"/>
      <c r="F31" s="4"/>
      <c r="G31" s="4"/>
      <c r="I31" s="4"/>
      <c r="J31" s="4"/>
      <c r="K31" s="1"/>
    </row>
    <row r="35" spans="1:11" ht="15" thickBot="1" x14ac:dyDescent="0.35">
      <c r="A35" s="2" t="s">
        <v>38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I35" s="15" t="s">
        <v>18</v>
      </c>
      <c r="J35" s="15" t="s">
        <v>19</v>
      </c>
      <c r="K35" s="16" t="s">
        <v>16</v>
      </c>
    </row>
    <row r="36" spans="1:11" ht="15" thickBot="1" x14ac:dyDescent="0.35">
      <c r="A36" s="3">
        <v>46118</v>
      </c>
      <c r="B36" s="21">
        <v>85</v>
      </c>
      <c r="C36" s="4" t="s">
        <v>41</v>
      </c>
      <c r="D36" s="4">
        <v>32</v>
      </c>
      <c r="E36" s="21">
        <f>SUM(D36:D47)</f>
        <v>204</v>
      </c>
      <c r="F36" s="21">
        <f>B39-E36</f>
        <v>16</v>
      </c>
      <c r="G36" s="21">
        <f>F36+G22</f>
        <v>30.900000000000034</v>
      </c>
      <c r="I36" s="6" t="s">
        <v>45</v>
      </c>
      <c r="J36" s="6">
        <v>3</v>
      </c>
      <c r="K36" s="18">
        <f>SUM(J36:J45)</f>
        <v>5</v>
      </c>
    </row>
    <row r="37" spans="1:11" x14ac:dyDescent="0.3">
      <c r="A37" s="4" t="s">
        <v>15</v>
      </c>
      <c r="B37" s="22"/>
      <c r="C37" s="4" t="s">
        <v>42</v>
      </c>
      <c r="D37" s="4">
        <v>88</v>
      </c>
      <c r="E37" s="23"/>
      <c r="F37" s="23"/>
      <c r="G37" s="23"/>
      <c r="I37" s="20"/>
      <c r="J37" s="20">
        <v>2</v>
      </c>
      <c r="K37" s="1"/>
    </row>
    <row r="38" spans="1:11" ht="15" thickBot="1" x14ac:dyDescent="0.35">
      <c r="A38" s="10"/>
      <c r="B38" s="19"/>
      <c r="C38" s="7" t="s">
        <v>44</v>
      </c>
      <c r="D38" s="4">
        <v>22</v>
      </c>
      <c r="E38" s="23"/>
      <c r="F38" s="23"/>
      <c r="G38" s="23"/>
      <c r="I38" s="4"/>
      <c r="J38" s="4"/>
      <c r="K38" s="1"/>
    </row>
    <row r="39" spans="1:11" ht="15" thickBot="1" x14ac:dyDescent="0.35">
      <c r="A39" s="13" t="s">
        <v>16</v>
      </c>
      <c r="B39" s="14">
        <f>SUM(B42:B45,B36)</f>
        <v>220</v>
      </c>
      <c r="C39" s="7" t="s">
        <v>43</v>
      </c>
      <c r="D39" s="4">
        <v>15</v>
      </c>
      <c r="E39" s="23"/>
      <c r="F39" s="23"/>
      <c r="G39" s="23"/>
      <c r="I39" s="4"/>
      <c r="J39" s="4"/>
      <c r="K39" s="1"/>
    </row>
    <row r="40" spans="1:11" x14ac:dyDescent="0.3">
      <c r="A40" s="20"/>
      <c r="B40" s="20"/>
      <c r="C40" s="4" t="s">
        <v>9</v>
      </c>
      <c r="D40" s="4">
        <v>12</v>
      </c>
      <c r="E40" s="23"/>
      <c r="F40" s="23"/>
      <c r="G40" s="23"/>
      <c r="I40" s="4"/>
      <c r="J40" s="4"/>
      <c r="K40" s="1"/>
    </row>
    <row r="41" spans="1:11" x14ac:dyDescent="0.3">
      <c r="A41" s="4"/>
      <c r="B41" s="4"/>
      <c r="C41" s="4" t="s">
        <v>46</v>
      </c>
      <c r="D41" s="4">
        <v>12</v>
      </c>
      <c r="E41" s="22"/>
      <c r="F41" s="22"/>
      <c r="G41" s="22"/>
      <c r="I41" s="4"/>
      <c r="J41" s="4"/>
      <c r="K41" s="1"/>
    </row>
    <row r="42" spans="1:11" x14ac:dyDescent="0.3">
      <c r="A42" s="4" t="s">
        <v>14</v>
      </c>
      <c r="B42" s="11">
        <v>100</v>
      </c>
      <c r="C42" s="11" t="s">
        <v>47</v>
      </c>
      <c r="D42" s="4">
        <v>18</v>
      </c>
      <c r="E42" s="4"/>
      <c r="F42" s="4"/>
      <c r="G42" s="4"/>
      <c r="I42" s="4"/>
      <c r="J42" s="4"/>
      <c r="K42" s="1"/>
    </row>
    <row r="43" spans="1:11" x14ac:dyDescent="0.3">
      <c r="A43" s="4"/>
      <c r="B43" s="4">
        <v>35</v>
      </c>
      <c r="C43" s="4"/>
      <c r="D43" s="4"/>
      <c r="E43" s="4"/>
      <c r="F43" s="4"/>
      <c r="G43" s="4"/>
      <c r="I43" s="4"/>
      <c r="J43" s="4"/>
      <c r="K43" s="1"/>
    </row>
    <row r="44" spans="1:11" x14ac:dyDescent="0.3">
      <c r="A44" s="4"/>
      <c r="B44" s="4"/>
      <c r="C44" s="5"/>
      <c r="D44" s="4"/>
      <c r="E44" s="4"/>
      <c r="F44" s="4"/>
      <c r="G44" s="4"/>
      <c r="I44" s="4"/>
      <c r="J44" s="4"/>
      <c r="K44" s="1"/>
    </row>
    <row r="45" spans="1:11" x14ac:dyDescent="0.3">
      <c r="A45" s="4"/>
      <c r="B45" s="4"/>
      <c r="C45" s="4" t="s">
        <v>18</v>
      </c>
      <c r="D45" s="4">
        <f>K36</f>
        <v>5</v>
      </c>
      <c r="E45" s="4"/>
      <c r="F45" s="4"/>
      <c r="G45" s="4"/>
      <c r="I45" s="4"/>
      <c r="J45" s="4"/>
      <c r="K45" s="1"/>
    </row>
  </sheetData>
  <mergeCells count="12">
    <mergeCell ref="B36:B37"/>
    <mergeCell ref="E36:E41"/>
    <mergeCell ref="F36:F41"/>
    <mergeCell ref="G36:G41"/>
    <mergeCell ref="B3:B4"/>
    <mergeCell ref="B22:B23"/>
    <mergeCell ref="E22:E27"/>
    <mergeCell ref="F22:F27"/>
    <mergeCell ref="G22:G27"/>
    <mergeCell ref="E3:E8"/>
    <mergeCell ref="F3:F8"/>
    <mergeCell ref="G3:G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ZAID HUAQUISTO ZAPANA</dc:creator>
  <cp:lastModifiedBy>ALUMNO - ZAID HUAQUISTO ZAPANA</cp:lastModifiedBy>
  <dcterms:created xsi:type="dcterms:W3CDTF">2026-04-07T23:18:12Z</dcterms:created>
  <dcterms:modified xsi:type="dcterms:W3CDTF">2026-05-08T17:20:03Z</dcterms:modified>
</cp:coreProperties>
</file>